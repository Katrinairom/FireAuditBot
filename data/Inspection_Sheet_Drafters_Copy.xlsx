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romk\OneDrive\Desktop\PART TIME\"/>
    </mc:Choice>
  </mc:AlternateContent>
  <xr:revisionPtr revIDLastSave="0" documentId="13_ncr:1_{8705B5F0-96F6-4DDF-ACCE-B97FDE6A0939}" xr6:coauthVersionLast="47" xr6:coauthVersionMax="47" xr10:uidLastSave="{00000000-0000-0000-0000-000000000000}"/>
  <bookViews>
    <workbookView xWindow="-96" yWindow="0" windowWidth="14016" windowHeight="12336" tabRatio="901" xr2:uid="{E9AD75DC-544A-436E-BC51-D786CB25713E}"/>
  </bookViews>
  <sheets>
    <sheet name="Occupancy load Calculation" sheetId="4" r:id="rId1"/>
    <sheet name="Fire Load Calculation" sheetId="8" r:id="rId2"/>
    <sheet name="NBC Necessity " sheetId="13" r:id="rId3"/>
    <sheet name="FYI" sheetId="1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I2" i="4" s="1"/>
  <c r="H15" i="4"/>
  <c r="E15" i="4"/>
  <c r="D15" i="4"/>
  <c r="F3" i="8"/>
  <c r="F4" i="8"/>
  <c r="F5" i="8"/>
  <c r="F6" i="8"/>
  <c r="F7" i="8"/>
  <c r="F8" i="8"/>
  <c r="F9" i="8"/>
  <c r="F10" i="8"/>
  <c r="F11" i="8"/>
  <c r="F2" i="8"/>
  <c r="F3" i="4"/>
  <c r="I3" i="4" s="1"/>
  <c r="F4" i="4"/>
  <c r="I4" i="4" s="1"/>
  <c r="F5" i="4"/>
  <c r="I5" i="4" s="1"/>
  <c r="F6" i="4"/>
  <c r="I6" i="4" s="1"/>
  <c r="F7" i="4"/>
  <c r="I7" i="4" s="1"/>
  <c r="F8" i="4"/>
  <c r="I8" i="4" s="1"/>
  <c r="F9" i="4"/>
  <c r="I9" i="4" s="1"/>
  <c r="F10" i="4"/>
  <c r="I10" i="4" s="1"/>
  <c r="F11" i="4"/>
  <c r="I11" i="4" s="1"/>
  <c r="F12" i="4"/>
  <c r="I12" i="4" s="1"/>
  <c r="F13" i="4"/>
  <c r="I13" i="4" s="1"/>
  <c r="F14" i="4"/>
  <c r="I14" i="4" s="1"/>
  <c r="F12" i="8" l="1"/>
  <c r="F14" i="8" s="1"/>
  <c r="F15" i="4"/>
  <c r="I15" i="4"/>
</calcChain>
</file>

<file path=xl/sharedStrings.xml><?xml version="1.0" encoding="utf-8"?>
<sst xmlns="http://schemas.openxmlformats.org/spreadsheetml/2006/main" count="222" uniqueCount="196">
  <si>
    <t>1.)</t>
  </si>
  <si>
    <t>2.)</t>
  </si>
  <si>
    <t>3.)</t>
  </si>
  <si>
    <t>4.)</t>
  </si>
  <si>
    <t>5.)</t>
  </si>
  <si>
    <t>Sr No.</t>
  </si>
  <si>
    <t>Area</t>
  </si>
  <si>
    <t>Prescriptive Occupant Load Factor (OLP)</t>
  </si>
  <si>
    <t>Store Entrance Lobby</t>
  </si>
  <si>
    <t>Retail Outlet Area</t>
  </si>
  <si>
    <t>Merchandise Display Floor</t>
  </si>
  <si>
    <t xml:space="preserve">Cash Counter </t>
  </si>
  <si>
    <t>Main Exit Area</t>
  </si>
  <si>
    <t>6.)</t>
  </si>
  <si>
    <t>Trial Rooms</t>
  </si>
  <si>
    <t>7.)</t>
  </si>
  <si>
    <t>Stock Storage Area</t>
  </si>
  <si>
    <t>8.)</t>
  </si>
  <si>
    <t>Electrical / IT Panel Room</t>
  </si>
  <si>
    <t>9.)</t>
  </si>
  <si>
    <t>Administrative Room</t>
  </si>
  <si>
    <t>10.)</t>
  </si>
  <si>
    <t>Pantry / Staff Kitchen</t>
  </si>
  <si>
    <t>11.)</t>
  </si>
  <si>
    <t>Employee Rooms</t>
  </si>
  <si>
    <t>12.)</t>
  </si>
  <si>
    <t>Corridor/ Staircases</t>
  </si>
  <si>
    <t>13.)</t>
  </si>
  <si>
    <t xml:space="preserve">Emergency Exit </t>
  </si>
  <si>
    <t>100% AREA RATIO AVG</t>
  </si>
  <si>
    <t>TOTAL AREA</t>
  </si>
  <si>
    <t>AREA OCCUPIED</t>
  </si>
  <si>
    <t>TOTAL PEOPLE</t>
  </si>
  <si>
    <t>100% PEOPLE RATIO AVG</t>
  </si>
  <si>
    <t>OCCUPANY LOAD</t>
  </si>
  <si>
    <t xml:space="preserve">Type of </t>
  </si>
  <si>
    <t>Materials found</t>
  </si>
  <si>
    <t>Calorific Value</t>
  </si>
  <si>
    <t>Mass of Material</t>
  </si>
  <si>
    <t>Paper</t>
  </si>
  <si>
    <t>Corrugated Box, Stationary, Loose Paper Items, Disposables, etc.</t>
  </si>
  <si>
    <t>Cotton</t>
  </si>
  <si>
    <t>Clothes, Garments, Sweaters,  Dress, Sweatshirt, Joggers, etc.</t>
  </si>
  <si>
    <t>Leather</t>
  </si>
  <si>
    <t>Clothes, Blazers, Bags, Jackets, Shoes, Belts, Footwear, etc.</t>
  </si>
  <si>
    <t>Wood</t>
  </si>
  <si>
    <t>Wooden Cabins, Partition Walls, Soft Board, Shelves, Cup Boards, etc.</t>
  </si>
  <si>
    <t>Wool</t>
  </si>
  <si>
    <t>Coats, Blazers, Knitwear, Jumpers, Sweat Shirts &amp; Pants, Sweaters, etc.</t>
  </si>
  <si>
    <t>Nylon</t>
  </si>
  <si>
    <t>Clothes, Bags, Jackets, Shoes, Dress, Denims, Other Garments, etc.</t>
  </si>
  <si>
    <t>Polyester</t>
  </si>
  <si>
    <t>Clothes, Garments, Dress, Tracksuits, Jumpers, Sweat Shirts &amp; Pants, etc.</t>
  </si>
  <si>
    <t>Rubber</t>
  </si>
  <si>
    <t>Footwear, Cables &amp; Wires, Sportswear, Slippers &amp; Sandals, Wearable, etc.</t>
  </si>
  <si>
    <t>Ethane</t>
  </si>
  <si>
    <t>Ethanol, Profane and Butane used in making scent, deodorant, perfume,etc</t>
  </si>
  <si>
    <t>Plastic, PVC, XLPE, PE, Teflon, Wire &amp; Cable Coatings, Other Electronics, etc</t>
  </si>
  <si>
    <t>Calorific Value (MJ)</t>
  </si>
  <si>
    <t>TOTAL MEGA JOULES</t>
  </si>
  <si>
    <t>TOTAL AREA OF STORE</t>
  </si>
  <si>
    <t>Page 1</t>
  </si>
  <si>
    <t>Date &amp; Document Reference Number</t>
  </si>
  <si>
    <t>Page 12</t>
  </si>
  <si>
    <t>Property Overview</t>
  </si>
  <si>
    <t xml:space="preserve">Fill the report in given column, rows and cells only. Do not reduce or extend the size of cells. </t>
  </si>
  <si>
    <t xml:space="preserve">FONT TO USE - </t>
  </si>
  <si>
    <t>CALIBRI</t>
  </si>
  <si>
    <t>SIZE OF FONT -</t>
  </si>
  <si>
    <t>LETTERS-</t>
  </si>
  <si>
    <t>Building Details</t>
  </si>
  <si>
    <t>Page 13</t>
  </si>
  <si>
    <t>Page 14</t>
  </si>
  <si>
    <t>Building Fire Equipment Checklist</t>
  </si>
  <si>
    <t>Page No.</t>
  </si>
  <si>
    <t>Data Entry Description</t>
  </si>
  <si>
    <t>Page 15</t>
  </si>
  <si>
    <t>Page 16</t>
  </si>
  <si>
    <t>Store Details</t>
  </si>
  <si>
    <t>Store Fire Equipment Checklist</t>
  </si>
  <si>
    <t>Fire Fighting Equipments Details</t>
  </si>
  <si>
    <t>Additional Comments</t>
  </si>
  <si>
    <t>Mention todays report creation date and kindly  ask for drn number from the report assigner.</t>
  </si>
  <si>
    <t xml:space="preserve">This sheet should be filled with information of overall property and building </t>
  </si>
  <si>
    <t xml:space="preserve">This sheet should be filled with extra additional information of overall property </t>
  </si>
  <si>
    <t>Just mention available or not available fire equipments in building.</t>
  </si>
  <si>
    <t>This sheet should be filled with information of store only</t>
  </si>
  <si>
    <t>mention available or not available fire equipments in store only</t>
  </si>
  <si>
    <t>In details column kindly write only Yes or No, in Additional Remarks column kindly mention quantity of available items and for items that are not available please mention the same.</t>
  </si>
  <si>
    <t>Page 17
to 
Page 22</t>
  </si>
  <si>
    <t>Polyethylene</t>
  </si>
  <si>
    <t>TOTAL FIRE LOAD DENSITY</t>
  </si>
  <si>
    <t>Fire Load Density (MJ/m²)</t>
  </si>
  <si>
    <t>Classification</t>
  </si>
  <si>
    <t>Up to 275 MJ/m²</t>
  </si>
  <si>
    <t>Low Fire Load</t>
  </si>
  <si>
    <t>275–550 MJ/m²</t>
  </si>
  <si>
    <t>Moderate Fire Load</t>
  </si>
  <si>
    <t>Above 550 MJ/m²</t>
  </si>
  <si>
    <t>High Fire Load</t>
  </si>
  <si>
    <t>Area of Property
(m²)</t>
  </si>
  <si>
    <t>2000 to 5000 Sq. Mtrs</t>
  </si>
  <si>
    <t xml:space="preserve">   500 to 2000 Sq. Mtrs</t>
  </si>
  <si>
    <t>Terrace Booster Pump</t>
  </si>
  <si>
    <t>Jockey Pump</t>
  </si>
  <si>
    <t>450 to 900 LPM</t>
  </si>
  <si>
    <t>180 to 450 LPM</t>
  </si>
  <si>
    <t>900 LPM &amp; Above</t>
  </si>
  <si>
    <t>1350 LPM to 1850 LPM</t>
  </si>
  <si>
    <t>1850 LPM to 2250 LPM</t>
  </si>
  <si>
    <t>Fire Pump -
Hydrant &amp; Sprinkler (Main)</t>
  </si>
  <si>
    <t>2250 LPM &amp; above</t>
  </si>
  <si>
    <t>Fire or Diesel Pump -
Hydrant &amp; Sprinkler (Backup)</t>
  </si>
  <si>
    <t>30000 +</t>
  </si>
  <si>
    <t>50000 +</t>
  </si>
  <si>
    <t>100000 +</t>
  </si>
  <si>
    <t>150000 +</t>
  </si>
  <si>
    <t>5000 +</t>
  </si>
  <si>
    <t>25000 +</t>
  </si>
  <si>
    <t>75000 +</t>
  </si>
  <si>
    <t>5000 to 10000 Sq. Mtrs</t>
  </si>
  <si>
    <t>Sprinkler System:</t>
  </si>
  <si>
    <t>If Area of Property Exceeds 500 meter square irresepctive of number floors, property must install sprinklers</t>
  </si>
  <si>
    <t>If Floors in Building Exceeds G + 2, Hydrant Valve is required on each Floor.</t>
  </si>
  <si>
    <t>Hosereel Drum:</t>
  </si>
  <si>
    <t>If Area of Property Exceeds 500 meter square irresepctive of number floors, property must install hydrant valve.</t>
  </si>
  <si>
    <t>Required on ground and each floor for property above 500 meter square</t>
  </si>
  <si>
    <t>Page 25</t>
  </si>
  <si>
    <t>Occupancy Load Derivation</t>
  </si>
  <si>
    <t>Enter the toal area of store in occupancy load calculation sheet, you will find the estimated area and occupancy load.</t>
  </si>
  <si>
    <t>Fire Load Calculation</t>
  </si>
  <si>
    <t>Estimated Mass of Material will be provided by my team, you have to enter it in fire load calculation sheet, you will get results of fire load, enter the same.</t>
  </si>
  <si>
    <t>Page 26 &amp; 27</t>
  </si>
  <si>
    <t>Common  
Water Tank Volume (UG)</t>
  </si>
  <si>
    <t>Fire 
Water Tank
Volume (UG)</t>
  </si>
  <si>
    <t>Common  
Water Tank Volume (OH)</t>
  </si>
  <si>
    <t>Fire 
Water Tank
Volume (OH)</t>
  </si>
  <si>
    <t>Other Notes :</t>
  </si>
  <si>
    <t>Riser/Dwncmr</t>
  </si>
  <si>
    <t>Alarm System:</t>
  </si>
  <si>
    <t>Alarm PANEL, Smoke Detector, MCP, Hooter is required in store.</t>
  </si>
  <si>
    <t>Heat Detector:</t>
  </si>
  <si>
    <t>Public Address</t>
  </si>
  <si>
    <t>Required in store</t>
  </si>
  <si>
    <t>Heat Detector is required in Electrical panel room of store</t>
  </si>
  <si>
    <t>Extinguisher</t>
  </si>
  <si>
    <t>CO2:</t>
  </si>
  <si>
    <t>Clean Agent:</t>
  </si>
  <si>
    <t>required in Electrical room of store</t>
  </si>
  <si>
    <t>Modular:</t>
  </si>
  <si>
    <t>required in Electrical room &amp; Storage Room of store</t>
  </si>
  <si>
    <t>Hydrant crtyrd:</t>
  </si>
  <si>
    <t>Page 28</t>
  </si>
  <si>
    <t>NBC Necessity - Water Tank Details</t>
  </si>
  <si>
    <t>Page 29</t>
  </si>
  <si>
    <t>Page 30</t>
  </si>
  <si>
    <t>NBC Necessity - Fire Pump Details</t>
  </si>
  <si>
    <t>NBC Necessity - Fire Hydrant Details</t>
  </si>
  <si>
    <t>6.1.A</t>
  </si>
  <si>
    <t>6.1.C</t>
  </si>
  <si>
    <t>6.1.B</t>
  </si>
  <si>
    <t>Page 31</t>
  </si>
  <si>
    <t>Page 32</t>
  </si>
  <si>
    <t>Page 33</t>
  </si>
  <si>
    <t>6.1.D</t>
  </si>
  <si>
    <t>6.1.E</t>
  </si>
  <si>
    <t>6.1.F</t>
  </si>
  <si>
    <t>6.1.G</t>
  </si>
  <si>
    <t>Page 34</t>
  </si>
  <si>
    <t>NBC Necessity - Fire Sprinkler Details</t>
  </si>
  <si>
    <t>NBC Necessity - Fire Alarm Details</t>
  </si>
  <si>
    <t>NBC Necessity - Fire Extinguisher Details</t>
  </si>
  <si>
    <t xml:space="preserve">NBC Necessity - Passive Firefighting </t>
  </si>
  <si>
    <r>
      <t xml:space="preserve">Compare the actual requirement and Requirement per NBC and mention in remarks if it meets expectation, does not meet expectation or exceeds expectation. </t>
    </r>
    <r>
      <rPr>
        <b/>
        <sz val="11"/>
        <color theme="1"/>
        <rFont val="Aptos Narrow"/>
        <family val="2"/>
        <scheme val="minor"/>
      </rPr>
      <t>(Property Data)</t>
    </r>
  </si>
  <si>
    <r>
      <t xml:space="preserve">Compare the actual requirement and Requirement per NBC and mention in remarks if it meets expectation, does not meet expectation or exceeds expectation, NBC Reference is mentioned in the sheet itself. </t>
    </r>
    <r>
      <rPr>
        <b/>
        <sz val="11"/>
        <color theme="1"/>
        <rFont val="Aptos Narrow"/>
        <family val="2"/>
        <scheme val="minor"/>
      </rPr>
      <t>(Store Data)</t>
    </r>
  </si>
  <si>
    <t>Page 35</t>
  </si>
  <si>
    <t>Page 36</t>
  </si>
  <si>
    <t>Page 37</t>
  </si>
  <si>
    <t>Emergency Evacuation Checklist</t>
  </si>
  <si>
    <t>Smoke Ventilation Checklist</t>
  </si>
  <si>
    <t>Electrical Safety Checklist</t>
  </si>
  <si>
    <t>Mention Yes or No and any additional remarks if required</t>
  </si>
  <si>
    <t>Mantion if system is maintained/not maintained, if maintained it is maintained quarterly, half yearly or once a year</t>
  </si>
  <si>
    <t>Page 38 &amp; 39</t>
  </si>
  <si>
    <t>7.4.1,2,3</t>
  </si>
  <si>
    <t>Maintenace, Training &amp; Documentation Checklist</t>
  </si>
  <si>
    <t>Page 44</t>
  </si>
  <si>
    <t>Bonus</t>
  </si>
  <si>
    <t>mention the details of fire fighting equipment available in store</t>
  </si>
  <si>
    <t>450 LPM Required if Floors more than G+2 &amp; above</t>
  </si>
  <si>
    <t>900 LPM Required if Floors more than G+2 &amp; above</t>
  </si>
  <si>
    <t>900 LPM + Required if Floors more than G+2 &amp; above</t>
  </si>
  <si>
    <t>IN CASE ANY ITEM IS NOT AVAILABLE OR NOT APPLICABLE, PLEASE MENTION THE SAME IN REMARKS, DO NOT LEAVE IT BLANK.</t>
  </si>
  <si>
    <r>
      <t xml:space="preserve">FILL REPORT IN CAPITAL LETTERS (CAPS LOCK </t>
    </r>
    <r>
      <rPr>
        <b/>
        <sz val="11"/>
        <color theme="1"/>
        <rFont val="Aptos Narrow"/>
        <family val="2"/>
        <scheme val="minor"/>
      </rPr>
      <t>ON</t>
    </r>
    <r>
      <rPr>
        <sz val="11"/>
        <color theme="1"/>
        <rFont val="Aptos Narrow"/>
        <family val="2"/>
        <scheme val="minor"/>
      </rPr>
      <t>) Except Additional Remarks Column, it can be written in small letters</t>
    </r>
  </si>
  <si>
    <t>Not compulsory</t>
  </si>
  <si>
    <t>10000 Sq. Mtrs &amp;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</si>
</sst>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2"/>
      <color theme="1"/>
      <name val="Calibri"/>
      <family val="2"/>
    </font>
    <font>
      <sz val="12"/>
      <color theme="1"/>
      <name val="Calibri"/>
      <family val="2"/>
    </font>
    <font>
      <sz val="11"/>
      <name val="Aptos Narrow"/>
      <family val="2"/>
      <scheme val="minor"/>
    </font>
    <font>
      <b/>
      <sz val="10"/>
      <color theme="1"/>
      <name val="Calibri"/>
      <family val="2"/>
    </font>
    <font>
      <sz val="12"/>
      <name val="Calibri"/>
      <family val="2"/>
    </font>
    <font>
      <sz val="8"/>
      <name val="Aptos Narrow"/>
      <family val="2"/>
      <scheme val="minor"/>
    </font>
    <font>
      <sz val="12"/>
      <color rgb="FF000000"/>
      <name val="Calibr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3" fillId="0" borderId="1" xfId="0" applyFont="1" applyBorder="1" applyAlignment="1">
      <alignment vertical="center"/>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0" xfId="0" applyAlignment="1">
      <alignment wrapText="1"/>
    </xf>
    <xf numFmtId="1"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0" fillId="0" borderId="0" xfId="0" applyNumberFormat="1"/>
    <xf numFmtId="1" fontId="0" fillId="0" borderId="1" xfId="0" applyNumberFormat="1" applyBorder="1" applyAlignment="1">
      <alignment wrapText="1"/>
    </xf>
    <xf numFmtId="2" fontId="0" fillId="0" borderId="1" xfId="0" applyNumberFormat="1" applyBorder="1" applyAlignment="1">
      <alignment wrapText="1"/>
    </xf>
    <xf numFmtId="0" fontId="0" fillId="0" borderId="1" xfId="0" applyBorder="1" applyAlignment="1">
      <alignment wrapText="1"/>
    </xf>
    <xf numFmtId="1" fontId="0" fillId="0" borderId="0" xfId="0" applyNumberFormat="1" applyAlignment="1">
      <alignment wrapText="1"/>
    </xf>
    <xf numFmtId="2" fontId="0" fillId="0" borderId="0" xfId="0" applyNumberFormat="1" applyAlignment="1">
      <alignment wrapText="1"/>
    </xf>
    <xf numFmtId="0" fontId="1" fillId="0" borderId="1" xfId="0" applyFont="1" applyBorder="1" applyAlignment="1">
      <alignment wrapText="1"/>
    </xf>
    <xf numFmtId="0" fontId="1" fillId="0" borderId="0" xfId="0" applyFont="1" applyAlignment="1">
      <alignment wrapText="1"/>
    </xf>
    <xf numFmtId="2" fontId="0" fillId="0" borderId="1" xfId="0" applyNumberFormat="1" applyBorder="1" applyAlignment="1">
      <alignment horizontal="center" vertical="center" wrapText="1"/>
    </xf>
    <xf numFmtId="1" fontId="4" fillId="0" borderId="1" xfId="0" applyNumberFormat="1" applyFont="1" applyBorder="1" applyAlignment="1">
      <alignment horizontal="center" vertical="center" wrapText="1"/>
    </xf>
    <xf numFmtId="2" fontId="3" fillId="0" borderId="1" xfId="0" applyNumberFormat="1" applyFont="1" applyBorder="1" applyAlignment="1">
      <alignment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left" vertical="top"/>
    </xf>
    <xf numFmtId="0" fontId="1" fillId="0" borderId="0" xfId="0" applyFont="1" applyAlignment="1">
      <alignment horizontal="left" vertical="top"/>
    </xf>
    <xf numFmtId="0" fontId="0" fillId="0" borderId="0" xfId="0" applyAlignment="1">
      <alignment horizontal="left" vertical="top" wrapText="1"/>
    </xf>
    <xf numFmtId="0" fontId="2" fillId="0" borderId="1" xfId="0" applyFont="1" applyBorder="1" applyAlignment="1">
      <alignment vertical="center" wrapText="1"/>
    </xf>
    <xf numFmtId="2" fontId="2" fillId="2"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2" fontId="0" fillId="0" borderId="1" xfId="0" applyNumberFormat="1" applyBorder="1"/>
    <xf numFmtId="2" fontId="0" fillId="0" borderId="1" xfId="0" applyNumberFormat="1" applyBorder="1" applyAlignment="1">
      <alignment horizontal="right"/>
    </xf>
    <xf numFmtId="0" fontId="0" fillId="0" borderId="1" xfId="0" applyBorder="1"/>
    <xf numFmtId="0" fontId="1"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center" wrapText="1"/>
    </xf>
    <xf numFmtId="3" fontId="0" fillId="0" borderId="1" xfId="0" applyNumberFormat="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xf>
    <xf numFmtId="0" fontId="2" fillId="0" borderId="1" xfId="0" applyFont="1"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 xfId="0" applyBorder="1" applyAlignment="1">
      <alignment horizontal="left" vertical="top"/>
    </xf>
    <xf numFmtId="0" fontId="0" fillId="0" borderId="1" xfId="0" applyBorder="1" applyAlignment="1">
      <alignment horizontal="left" wrapText="1"/>
    </xf>
    <xf numFmtId="0" fontId="0" fillId="0" borderId="1" xfId="0"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6984-CF18-411D-A0C1-501E2276582B}">
  <sheetPr>
    <pageSetUpPr fitToPage="1"/>
  </sheetPr>
  <dimension ref="A1:I15"/>
  <sheetViews>
    <sheetView tabSelected="1" zoomScale="76" workbookViewId="0">
      <selection activeCell="I18" sqref="I18"/>
    </sheetView>
  </sheetViews>
  <sheetFormatPr defaultRowHeight="14.4" x14ac:dyDescent="0.3"/>
  <cols>
    <col min="1" max="1" width="7.6640625" style="4" customWidth="1"/>
    <col min="2" max="2" width="21.5546875" style="4" customWidth="1"/>
    <col min="3" max="3" width="21.6640625" style="14" customWidth="1"/>
    <col min="4" max="4" width="13.21875" style="11" customWidth="1"/>
    <col min="5" max="5" width="13.33203125" style="14" customWidth="1"/>
    <col min="6" max="6" width="12.21875" style="12" customWidth="1"/>
    <col min="7" max="7" width="10.5546875" style="14" customWidth="1"/>
    <col min="8" max="8" width="14.21875" style="14" customWidth="1"/>
    <col min="9" max="9" width="12.88671875" style="11" customWidth="1"/>
    <col min="10" max="16384" width="8.88671875" style="4"/>
  </cols>
  <sheetData>
    <row r="1" spans="1:9" ht="36.6" customHeight="1" x14ac:dyDescent="0.3">
      <c r="A1" s="2" t="s">
        <v>5</v>
      </c>
      <c r="B1" s="2" t="s">
        <v>6</v>
      </c>
      <c r="C1" s="2" t="s">
        <v>7</v>
      </c>
      <c r="D1" s="5" t="s">
        <v>30</v>
      </c>
      <c r="E1" s="2" t="s">
        <v>29</v>
      </c>
      <c r="F1" s="24" t="s">
        <v>31</v>
      </c>
      <c r="G1" s="2" t="s">
        <v>32</v>
      </c>
      <c r="H1" s="2" t="s">
        <v>33</v>
      </c>
      <c r="I1" s="25" t="s">
        <v>34</v>
      </c>
    </row>
    <row r="2" spans="1:9" ht="31.8" customHeight="1" x14ac:dyDescent="0.3">
      <c r="A2" s="3" t="s">
        <v>0</v>
      </c>
      <c r="B2" s="3" t="s">
        <v>8</v>
      </c>
      <c r="C2" s="2">
        <v>2.6</v>
      </c>
      <c r="D2" s="13"/>
      <c r="E2" s="2">
        <v>2.5</v>
      </c>
      <c r="F2" s="15">
        <f>D2*E2%</f>
        <v>0</v>
      </c>
      <c r="G2" s="2">
        <v>100</v>
      </c>
      <c r="H2" s="18">
        <v>5</v>
      </c>
      <c r="I2" s="16">
        <f>F2/C2</f>
        <v>0</v>
      </c>
    </row>
    <row r="3" spans="1:9" ht="15.6" x14ac:dyDescent="0.3">
      <c r="A3" s="3" t="s">
        <v>1</v>
      </c>
      <c r="B3" s="3" t="s">
        <v>9</v>
      </c>
      <c r="C3" s="2">
        <v>2.6</v>
      </c>
      <c r="D3" s="13"/>
      <c r="E3" s="2">
        <v>39</v>
      </c>
      <c r="F3" s="15">
        <f t="shared" ref="F3:F14" si="0">D3*E3%</f>
        <v>0</v>
      </c>
      <c r="G3" s="2">
        <v>100</v>
      </c>
      <c r="H3" s="18">
        <v>28</v>
      </c>
      <c r="I3" s="16">
        <f t="shared" ref="I3:I14" si="1">F3/C3</f>
        <v>0</v>
      </c>
    </row>
    <row r="4" spans="1:9" ht="31.2" x14ac:dyDescent="0.3">
      <c r="A4" s="3" t="s">
        <v>2</v>
      </c>
      <c r="B4" s="3" t="s">
        <v>10</v>
      </c>
      <c r="C4" s="2">
        <v>2.6</v>
      </c>
      <c r="D4" s="13"/>
      <c r="E4" s="2">
        <v>18</v>
      </c>
      <c r="F4" s="15">
        <f t="shared" si="0"/>
        <v>0</v>
      </c>
      <c r="G4" s="2">
        <v>100</v>
      </c>
      <c r="H4" s="18">
        <v>15</v>
      </c>
      <c r="I4" s="16">
        <f t="shared" si="1"/>
        <v>0</v>
      </c>
    </row>
    <row r="5" spans="1:9" ht="15.6" x14ac:dyDescent="0.3">
      <c r="A5" s="3" t="s">
        <v>3</v>
      </c>
      <c r="B5" s="3" t="s">
        <v>11</v>
      </c>
      <c r="C5" s="2">
        <v>4</v>
      </c>
      <c r="D5" s="13"/>
      <c r="E5" s="5">
        <v>8</v>
      </c>
      <c r="F5" s="15">
        <f t="shared" si="0"/>
        <v>0</v>
      </c>
      <c r="G5" s="2">
        <v>100</v>
      </c>
      <c r="H5" s="19">
        <v>20</v>
      </c>
      <c r="I5" s="16">
        <f t="shared" si="1"/>
        <v>0</v>
      </c>
    </row>
    <row r="6" spans="1:9" ht="31.8" customHeight="1" x14ac:dyDescent="0.3">
      <c r="A6" s="3" t="s">
        <v>4</v>
      </c>
      <c r="B6" s="3" t="s">
        <v>12</v>
      </c>
      <c r="C6" s="2">
        <v>2.6</v>
      </c>
      <c r="D6" s="13"/>
      <c r="E6" s="2">
        <v>2.5</v>
      </c>
      <c r="F6" s="15">
        <f t="shared" si="0"/>
        <v>0</v>
      </c>
      <c r="G6" s="2">
        <v>100</v>
      </c>
      <c r="H6" s="19">
        <v>10</v>
      </c>
      <c r="I6" s="16">
        <f t="shared" si="1"/>
        <v>0</v>
      </c>
    </row>
    <row r="7" spans="1:9" ht="31.8" customHeight="1" x14ac:dyDescent="0.3">
      <c r="A7" s="3" t="s">
        <v>13</v>
      </c>
      <c r="B7" s="3" t="s">
        <v>14</v>
      </c>
      <c r="C7" s="2">
        <v>4</v>
      </c>
      <c r="D7" s="13"/>
      <c r="E7" s="2">
        <v>5</v>
      </c>
      <c r="F7" s="15">
        <f t="shared" si="0"/>
        <v>0</v>
      </c>
      <c r="G7" s="2">
        <v>100</v>
      </c>
      <c r="H7" s="18">
        <v>5</v>
      </c>
      <c r="I7" s="16">
        <f t="shared" si="1"/>
        <v>0</v>
      </c>
    </row>
    <row r="8" spans="1:9" ht="15.6" x14ac:dyDescent="0.3">
      <c r="A8" s="3" t="s">
        <v>15</v>
      </c>
      <c r="B8" s="3" t="s">
        <v>16</v>
      </c>
      <c r="C8" s="2">
        <v>5</v>
      </c>
      <c r="D8" s="13"/>
      <c r="E8" s="2">
        <v>8</v>
      </c>
      <c r="F8" s="15">
        <f t="shared" si="0"/>
        <v>0</v>
      </c>
      <c r="G8" s="2">
        <v>100</v>
      </c>
      <c r="H8" s="18">
        <v>3</v>
      </c>
      <c r="I8" s="16">
        <f t="shared" si="1"/>
        <v>0</v>
      </c>
    </row>
    <row r="9" spans="1:9" ht="31.2" x14ac:dyDescent="0.3">
      <c r="A9" s="3" t="s">
        <v>17</v>
      </c>
      <c r="B9" s="3" t="s">
        <v>18</v>
      </c>
      <c r="C9" s="2">
        <v>5</v>
      </c>
      <c r="D9" s="13"/>
      <c r="E9" s="2">
        <v>3</v>
      </c>
      <c r="F9" s="15">
        <f t="shared" si="0"/>
        <v>0</v>
      </c>
      <c r="G9" s="2">
        <v>100</v>
      </c>
      <c r="H9" s="18">
        <v>1</v>
      </c>
      <c r="I9" s="16">
        <f t="shared" si="1"/>
        <v>0</v>
      </c>
    </row>
    <row r="10" spans="1:9" ht="15.6" x14ac:dyDescent="0.3">
      <c r="A10" s="3" t="s">
        <v>19</v>
      </c>
      <c r="B10" s="3" t="s">
        <v>20</v>
      </c>
      <c r="C10" s="2">
        <v>4</v>
      </c>
      <c r="D10" s="13"/>
      <c r="E10" s="2">
        <v>5</v>
      </c>
      <c r="F10" s="15">
        <f t="shared" si="0"/>
        <v>0</v>
      </c>
      <c r="G10" s="2">
        <v>100</v>
      </c>
      <c r="H10" s="18">
        <v>3</v>
      </c>
      <c r="I10" s="16">
        <f t="shared" si="1"/>
        <v>0</v>
      </c>
    </row>
    <row r="11" spans="1:9" ht="15.6" x14ac:dyDescent="0.3">
      <c r="A11" s="3" t="s">
        <v>21</v>
      </c>
      <c r="B11" s="3" t="s">
        <v>22</v>
      </c>
      <c r="C11" s="2">
        <v>4</v>
      </c>
      <c r="D11" s="13"/>
      <c r="E11" s="2">
        <v>2.5</v>
      </c>
      <c r="F11" s="15">
        <f t="shared" si="0"/>
        <v>0</v>
      </c>
      <c r="G11" s="2">
        <v>100</v>
      </c>
      <c r="H11" s="18">
        <v>2</v>
      </c>
      <c r="I11" s="16">
        <f t="shared" si="1"/>
        <v>0</v>
      </c>
    </row>
    <row r="12" spans="1:9" ht="15.6" x14ac:dyDescent="0.3">
      <c r="A12" s="3" t="s">
        <v>23</v>
      </c>
      <c r="B12" s="3" t="s">
        <v>24</v>
      </c>
      <c r="C12" s="2">
        <v>4</v>
      </c>
      <c r="D12" s="13"/>
      <c r="E12" s="2">
        <v>2.5</v>
      </c>
      <c r="F12" s="15">
        <f t="shared" si="0"/>
        <v>0</v>
      </c>
      <c r="G12" s="2">
        <v>100</v>
      </c>
      <c r="H12" s="18">
        <v>2</v>
      </c>
      <c r="I12" s="16">
        <f t="shared" si="1"/>
        <v>0</v>
      </c>
    </row>
    <row r="13" spans="1:9" ht="15.6" x14ac:dyDescent="0.3">
      <c r="A13" s="3" t="s">
        <v>25</v>
      </c>
      <c r="B13" s="3" t="s">
        <v>26</v>
      </c>
      <c r="C13" s="2">
        <v>5</v>
      </c>
      <c r="D13" s="13"/>
      <c r="E13" s="2">
        <v>2</v>
      </c>
      <c r="F13" s="15">
        <f t="shared" si="0"/>
        <v>0</v>
      </c>
      <c r="G13" s="2">
        <v>100</v>
      </c>
      <c r="H13" s="18">
        <v>3</v>
      </c>
      <c r="I13" s="16">
        <f t="shared" si="1"/>
        <v>0</v>
      </c>
    </row>
    <row r="14" spans="1:9" ht="15.6" x14ac:dyDescent="0.3">
      <c r="A14" s="3" t="s">
        <v>27</v>
      </c>
      <c r="B14" s="3" t="s">
        <v>28</v>
      </c>
      <c r="C14" s="2">
        <v>5</v>
      </c>
      <c r="D14" s="13"/>
      <c r="E14" s="2">
        <v>2</v>
      </c>
      <c r="F14" s="15">
        <f t="shared" si="0"/>
        <v>0</v>
      </c>
      <c r="G14" s="2">
        <v>100</v>
      </c>
      <c r="H14" s="18">
        <v>3</v>
      </c>
      <c r="I14" s="16">
        <f t="shared" si="1"/>
        <v>0</v>
      </c>
    </row>
    <row r="15" spans="1:9" x14ac:dyDescent="0.3">
      <c r="A15" s="10"/>
      <c r="B15" s="10"/>
      <c r="C15" s="13"/>
      <c r="D15" s="8">
        <f>SUM(D2:D14)</f>
        <v>0</v>
      </c>
      <c r="E15" s="13">
        <f>SUM(E2:E14)</f>
        <v>100</v>
      </c>
      <c r="F15" s="9">
        <f>SUM(F2:F14)</f>
        <v>0</v>
      </c>
      <c r="G15" s="13"/>
      <c r="H15" s="13">
        <f>SUM(H2:H14)</f>
        <v>100</v>
      </c>
      <c r="I15" s="8">
        <f>SUM(I2:I14)</f>
        <v>0</v>
      </c>
    </row>
  </sheetData>
  <pageMargins left="0.7" right="0.7" top="0.75" bottom="0.75" header="0.3" footer="0.3"/>
  <pageSetup paperSize="9" fitToHeight="0"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B386C-2561-49E6-85A1-84FD3ACF0934}">
  <dimension ref="A1:F19"/>
  <sheetViews>
    <sheetView zoomScale="79" workbookViewId="0">
      <selection activeCell="F13" sqref="F13"/>
    </sheetView>
  </sheetViews>
  <sheetFormatPr defaultRowHeight="14.4" x14ac:dyDescent="0.3"/>
  <cols>
    <col min="1" max="1" width="6.44140625" customWidth="1"/>
    <col min="2" max="2" width="13.109375" customWidth="1"/>
    <col min="3" max="3" width="69.21875" customWidth="1"/>
    <col min="4" max="4" width="9.6640625" customWidth="1"/>
    <col min="5" max="5" width="11.88671875" customWidth="1"/>
    <col min="6" max="6" width="10.88671875" style="7" bestFit="1" customWidth="1"/>
  </cols>
  <sheetData>
    <row r="1" spans="1:6" ht="32.4" customHeight="1" x14ac:dyDescent="0.3">
      <c r="A1" s="2" t="s">
        <v>5</v>
      </c>
      <c r="B1" s="2" t="s">
        <v>35</v>
      </c>
      <c r="C1" s="2" t="s">
        <v>36</v>
      </c>
      <c r="D1" s="2" t="s">
        <v>37</v>
      </c>
      <c r="E1" s="2" t="s">
        <v>38</v>
      </c>
      <c r="F1" s="6" t="s">
        <v>58</v>
      </c>
    </row>
    <row r="2" spans="1:6" ht="15.6" x14ac:dyDescent="0.3">
      <c r="A2" s="1" t="s">
        <v>0</v>
      </c>
      <c r="B2" s="1" t="s">
        <v>39</v>
      </c>
      <c r="C2" s="1" t="s">
        <v>40</v>
      </c>
      <c r="D2" s="1">
        <v>15.4</v>
      </c>
      <c r="E2" s="35"/>
      <c r="F2" s="17">
        <f>E2*D2</f>
        <v>0</v>
      </c>
    </row>
    <row r="3" spans="1:6" ht="15.6" x14ac:dyDescent="0.3">
      <c r="A3" s="1" t="s">
        <v>1</v>
      </c>
      <c r="B3" s="1" t="s">
        <v>41</v>
      </c>
      <c r="C3" s="1" t="s">
        <v>42</v>
      </c>
      <c r="D3" s="1">
        <v>15.8</v>
      </c>
      <c r="E3" s="35"/>
      <c r="F3" s="17">
        <f t="shared" ref="F3:F11" si="0">E3*D3</f>
        <v>0</v>
      </c>
    </row>
    <row r="4" spans="1:6" ht="15.6" x14ac:dyDescent="0.3">
      <c r="A4" s="1" t="s">
        <v>2</v>
      </c>
      <c r="B4" s="1" t="s">
        <v>43</v>
      </c>
      <c r="C4" s="1" t="s">
        <v>44</v>
      </c>
      <c r="D4" s="1">
        <v>17.600000000000001</v>
      </c>
      <c r="E4" s="35"/>
      <c r="F4" s="17">
        <f t="shared" si="0"/>
        <v>0</v>
      </c>
    </row>
    <row r="5" spans="1:6" ht="14.4" customHeight="1" x14ac:dyDescent="0.3">
      <c r="A5" s="1" t="s">
        <v>3</v>
      </c>
      <c r="B5" s="1" t="s">
        <v>45</v>
      </c>
      <c r="C5" s="1" t="s">
        <v>46</v>
      </c>
      <c r="D5" s="1">
        <v>17.600000000000001</v>
      </c>
      <c r="E5" s="35"/>
      <c r="F5" s="17">
        <f t="shared" si="0"/>
        <v>0</v>
      </c>
    </row>
    <row r="6" spans="1:6" ht="15.6" x14ac:dyDescent="0.3">
      <c r="A6" s="1" t="s">
        <v>4</v>
      </c>
      <c r="B6" s="1" t="s">
        <v>47</v>
      </c>
      <c r="C6" s="1" t="s">
        <v>48</v>
      </c>
      <c r="D6" s="1">
        <v>19.600000000000001</v>
      </c>
      <c r="E6" s="35"/>
      <c r="F6" s="17">
        <f t="shared" si="0"/>
        <v>0</v>
      </c>
    </row>
    <row r="7" spans="1:6" ht="15.6" x14ac:dyDescent="0.3">
      <c r="A7" s="1" t="s">
        <v>13</v>
      </c>
      <c r="B7" s="1" t="s">
        <v>49</v>
      </c>
      <c r="C7" s="1" t="s">
        <v>50</v>
      </c>
      <c r="D7" s="1">
        <v>22</v>
      </c>
      <c r="E7" s="35"/>
      <c r="F7" s="17">
        <f t="shared" si="0"/>
        <v>0</v>
      </c>
    </row>
    <row r="8" spans="1:6" ht="15.6" x14ac:dyDescent="0.3">
      <c r="A8" s="1" t="s">
        <v>15</v>
      </c>
      <c r="B8" s="1" t="s">
        <v>51</v>
      </c>
      <c r="C8" s="1" t="s">
        <v>52</v>
      </c>
      <c r="D8" s="1">
        <v>22</v>
      </c>
      <c r="E8" s="35"/>
      <c r="F8" s="17">
        <f t="shared" si="0"/>
        <v>0</v>
      </c>
    </row>
    <row r="9" spans="1:6" ht="15.6" x14ac:dyDescent="0.3">
      <c r="A9" s="1" t="s">
        <v>17</v>
      </c>
      <c r="B9" s="1" t="s">
        <v>53</v>
      </c>
      <c r="C9" s="1" t="s">
        <v>54</v>
      </c>
      <c r="D9" s="1">
        <v>37.4</v>
      </c>
      <c r="E9" s="35"/>
      <c r="F9" s="17">
        <f t="shared" si="0"/>
        <v>0</v>
      </c>
    </row>
    <row r="10" spans="1:6" ht="15.6" x14ac:dyDescent="0.3">
      <c r="A10" s="1" t="s">
        <v>19</v>
      </c>
      <c r="B10" s="1" t="s">
        <v>55</v>
      </c>
      <c r="C10" s="1" t="s">
        <v>56</v>
      </c>
      <c r="D10" s="1">
        <v>47.3</v>
      </c>
      <c r="E10" s="35"/>
      <c r="F10" s="17">
        <f t="shared" si="0"/>
        <v>0</v>
      </c>
    </row>
    <row r="11" spans="1:6" ht="16.8" customHeight="1" x14ac:dyDescent="0.3">
      <c r="A11" s="1" t="s">
        <v>21</v>
      </c>
      <c r="B11" s="1" t="s">
        <v>90</v>
      </c>
      <c r="C11" s="1" t="s">
        <v>57</v>
      </c>
      <c r="D11" s="1">
        <v>48.4</v>
      </c>
      <c r="E11" s="35"/>
      <c r="F11" s="17">
        <f t="shared" si="0"/>
        <v>0</v>
      </c>
    </row>
    <row r="12" spans="1:6" x14ac:dyDescent="0.3">
      <c r="A12" s="28"/>
      <c r="B12" s="28"/>
      <c r="C12" s="28"/>
      <c r="D12" s="37" t="s">
        <v>59</v>
      </c>
      <c r="E12" s="37"/>
      <c r="F12" s="26">
        <f>SUM(F2:F11)</f>
        <v>0</v>
      </c>
    </row>
    <row r="13" spans="1:6" ht="15.6" x14ac:dyDescent="0.3">
      <c r="A13" s="28"/>
      <c r="B13" s="28"/>
      <c r="C13" s="28"/>
      <c r="D13" s="37" t="s">
        <v>60</v>
      </c>
      <c r="E13" s="37"/>
      <c r="F13" s="35"/>
    </row>
    <row r="14" spans="1:6" x14ac:dyDescent="0.3">
      <c r="A14" s="28"/>
      <c r="B14" s="28"/>
      <c r="C14" s="28"/>
      <c r="D14" s="37" t="s">
        <v>91</v>
      </c>
      <c r="E14" s="37"/>
      <c r="F14" s="27" t="e">
        <f>F12/F13</f>
        <v>#DIV/0!</v>
      </c>
    </row>
    <row r="16" spans="1:6" ht="31.8" customHeight="1" x14ac:dyDescent="0.3">
      <c r="A16" s="38" t="s">
        <v>92</v>
      </c>
      <c r="B16" s="38"/>
      <c r="C16" s="23" t="s">
        <v>93</v>
      </c>
    </row>
    <row r="17" spans="1:6" ht="15.6" x14ac:dyDescent="0.3">
      <c r="A17" s="36" t="s">
        <v>94</v>
      </c>
      <c r="B17" s="36"/>
      <c r="C17" s="3" t="s">
        <v>95</v>
      </c>
      <c r="F17"/>
    </row>
    <row r="18" spans="1:6" ht="15.6" x14ac:dyDescent="0.3">
      <c r="A18" s="36" t="s">
        <v>96</v>
      </c>
      <c r="B18" s="36"/>
      <c r="C18" s="3" t="s">
        <v>97</v>
      </c>
    </row>
    <row r="19" spans="1:6" ht="15.6" x14ac:dyDescent="0.3">
      <c r="A19" s="36" t="s">
        <v>98</v>
      </c>
      <c r="B19" s="36"/>
      <c r="C19" s="3" t="s">
        <v>99</v>
      </c>
    </row>
  </sheetData>
  <mergeCells count="7">
    <mergeCell ref="A19:B19"/>
    <mergeCell ref="D12:E12"/>
    <mergeCell ref="D13:E13"/>
    <mergeCell ref="D14:E14"/>
    <mergeCell ref="A16:B16"/>
    <mergeCell ref="A17:B17"/>
    <mergeCell ref="A18:B18"/>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9CA6-1505-46A8-9100-7B6BE941F46F}">
  <dimension ref="A1:I18"/>
  <sheetViews>
    <sheetView zoomScale="72" workbookViewId="0">
      <selection activeCell="E21" sqref="E21"/>
    </sheetView>
  </sheetViews>
  <sheetFormatPr defaultRowHeight="14.4" x14ac:dyDescent="0.3"/>
  <cols>
    <col min="1" max="1" width="13" style="4" customWidth="1"/>
    <col min="2" max="2" width="19.77734375" style="4" customWidth="1"/>
    <col min="3" max="3" width="14.109375" style="4" customWidth="1"/>
    <col min="4" max="4" width="15.44140625" style="4" customWidth="1"/>
    <col min="5" max="5" width="18.109375" style="4" customWidth="1"/>
    <col min="6" max="6" width="12.77734375" style="4" customWidth="1"/>
    <col min="7" max="7" width="12.33203125" style="4" customWidth="1"/>
    <col min="8" max="8" width="12.44140625" style="4" customWidth="1"/>
    <col min="9" max="9" width="12.109375" style="4" customWidth="1"/>
    <col min="10" max="10" width="17.6640625" style="4" customWidth="1"/>
    <col min="11" max="16384" width="8.88671875" style="4"/>
  </cols>
  <sheetData>
    <row r="1" spans="1:9" ht="45" customHeight="1" x14ac:dyDescent="0.3">
      <c r="A1" s="29" t="s">
        <v>100</v>
      </c>
      <c r="B1" s="29" t="s">
        <v>103</v>
      </c>
      <c r="C1" s="29" t="s">
        <v>104</v>
      </c>
      <c r="D1" s="29" t="s">
        <v>110</v>
      </c>
      <c r="E1" s="29" t="s">
        <v>112</v>
      </c>
      <c r="F1" s="29" t="s">
        <v>133</v>
      </c>
      <c r="G1" s="29" t="s">
        <v>134</v>
      </c>
      <c r="H1" s="29" t="s">
        <v>135</v>
      </c>
      <c r="I1" s="29" t="s">
        <v>136</v>
      </c>
    </row>
    <row r="2" spans="1:9" ht="45.6" customHeight="1" x14ac:dyDescent="0.3">
      <c r="A2" s="31" t="s">
        <v>102</v>
      </c>
      <c r="B2" s="31" t="s">
        <v>189</v>
      </c>
      <c r="C2" s="31" t="s">
        <v>106</v>
      </c>
      <c r="D2" s="31" t="s">
        <v>194</v>
      </c>
      <c r="E2" s="31" t="s">
        <v>194</v>
      </c>
      <c r="F2" s="31" t="s">
        <v>194</v>
      </c>
      <c r="G2" s="31" t="s">
        <v>194</v>
      </c>
      <c r="H2" s="31" t="s">
        <v>113</v>
      </c>
      <c r="I2" s="31" t="s">
        <v>117</v>
      </c>
    </row>
    <row r="3" spans="1:9" ht="46.2" customHeight="1" x14ac:dyDescent="0.3">
      <c r="A3" s="31" t="s">
        <v>101</v>
      </c>
      <c r="B3" s="31" t="s">
        <v>189</v>
      </c>
      <c r="C3" s="31" t="s">
        <v>105</v>
      </c>
      <c r="D3" s="31" t="s">
        <v>108</v>
      </c>
      <c r="E3" s="31" t="s">
        <v>194</v>
      </c>
      <c r="F3" s="31" t="s">
        <v>114</v>
      </c>
      <c r="G3" s="31" t="s">
        <v>118</v>
      </c>
      <c r="H3" s="32">
        <v>25000</v>
      </c>
      <c r="I3" s="32">
        <v>5000</v>
      </c>
    </row>
    <row r="4" spans="1:9" ht="45.6" customHeight="1" x14ac:dyDescent="0.3">
      <c r="A4" s="31" t="s">
        <v>120</v>
      </c>
      <c r="B4" s="31" t="s">
        <v>190</v>
      </c>
      <c r="C4" s="31" t="s">
        <v>107</v>
      </c>
      <c r="D4" s="31" t="s">
        <v>109</v>
      </c>
      <c r="E4" s="31" t="s">
        <v>109</v>
      </c>
      <c r="F4" s="31" t="s">
        <v>115</v>
      </c>
      <c r="G4" s="31" t="s">
        <v>114</v>
      </c>
      <c r="H4" s="32">
        <v>30000</v>
      </c>
      <c r="I4" s="32">
        <v>10000</v>
      </c>
    </row>
    <row r="5" spans="1:9" ht="43.8" customHeight="1" x14ac:dyDescent="0.3">
      <c r="A5" s="31" t="s">
        <v>195</v>
      </c>
      <c r="B5" s="31" t="s">
        <v>191</v>
      </c>
      <c r="C5" s="31" t="s">
        <v>107</v>
      </c>
      <c r="D5" s="31" t="s">
        <v>111</v>
      </c>
      <c r="E5" s="31" t="s">
        <v>111</v>
      </c>
      <c r="F5" s="31" t="s">
        <v>116</v>
      </c>
      <c r="G5" s="31" t="s">
        <v>119</v>
      </c>
      <c r="H5" s="32">
        <v>50000</v>
      </c>
      <c r="I5" s="32">
        <v>25000</v>
      </c>
    </row>
    <row r="7" spans="1:9" x14ac:dyDescent="0.3">
      <c r="A7" s="13" t="s">
        <v>137</v>
      </c>
      <c r="B7" s="39"/>
      <c r="C7" s="40"/>
      <c r="D7" s="40"/>
      <c r="E7" s="40"/>
      <c r="F7" s="40"/>
      <c r="G7" s="40"/>
      <c r="H7" s="40"/>
      <c r="I7" s="41"/>
    </row>
    <row r="8" spans="1:9" ht="14.4" customHeight="1" x14ac:dyDescent="0.3">
      <c r="A8" s="10" t="s">
        <v>121</v>
      </c>
      <c r="B8" s="44" t="s">
        <v>122</v>
      </c>
      <c r="C8" s="44"/>
      <c r="D8" s="44"/>
      <c r="E8" s="44"/>
      <c r="F8" s="44"/>
      <c r="G8" s="44"/>
      <c r="H8" s="44"/>
      <c r="I8" s="44"/>
    </row>
    <row r="9" spans="1:9" ht="14.4" customHeight="1" x14ac:dyDescent="0.3">
      <c r="A9" s="30" t="s">
        <v>151</v>
      </c>
      <c r="B9" s="44" t="s">
        <v>125</v>
      </c>
      <c r="C9" s="44"/>
      <c r="D9" s="44"/>
      <c r="E9" s="44"/>
      <c r="F9" s="44"/>
      <c r="G9" s="44"/>
      <c r="H9" s="44"/>
      <c r="I9" s="44"/>
    </row>
    <row r="10" spans="1:9" ht="14.4" customHeight="1" x14ac:dyDescent="0.3">
      <c r="A10" s="10" t="s">
        <v>138</v>
      </c>
      <c r="B10" s="44" t="s">
        <v>123</v>
      </c>
      <c r="C10" s="44"/>
      <c r="D10" s="44"/>
      <c r="E10" s="44"/>
      <c r="F10" s="44"/>
      <c r="G10" s="44"/>
      <c r="H10" s="44"/>
      <c r="I10" s="44"/>
    </row>
    <row r="11" spans="1:9" ht="14.4" customHeight="1" x14ac:dyDescent="0.3">
      <c r="A11" s="33" t="s">
        <v>124</v>
      </c>
      <c r="B11" s="44" t="s">
        <v>126</v>
      </c>
      <c r="C11" s="44"/>
      <c r="D11" s="44"/>
      <c r="E11" s="44"/>
      <c r="F11" s="44"/>
      <c r="G11" s="44"/>
      <c r="H11" s="44"/>
      <c r="I11" s="44"/>
    </row>
    <row r="12" spans="1:9" x14ac:dyDescent="0.3">
      <c r="A12" s="34" t="s">
        <v>139</v>
      </c>
      <c r="B12" s="42" t="s">
        <v>140</v>
      </c>
      <c r="C12" s="42"/>
      <c r="D12" s="42"/>
      <c r="E12" s="42"/>
      <c r="F12" s="42"/>
      <c r="G12" s="42"/>
      <c r="H12" s="42"/>
      <c r="I12" s="42"/>
    </row>
    <row r="13" spans="1:9" s="20" customFormat="1" ht="14.4" customHeight="1" x14ac:dyDescent="0.3">
      <c r="A13" s="34" t="s">
        <v>141</v>
      </c>
      <c r="B13" s="42" t="s">
        <v>144</v>
      </c>
      <c r="C13" s="42"/>
      <c r="D13" s="42"/>
      <c r="E13" s="42"/>
      <c r="F13" s="42"/>
      <c r="G13" s="42"/>
      <c r="H13" s="42"/>
      <c r="I13" s="42"/>
    </row>
    <row r="14" spans="1:9" x14ac:dyDescent="0.3">
      <c r="A14" s="10" t="s">
        <v>142</v>
      </c>
      <c r="B14" s="43" t="s">
        <v>143</v>
      </c>
      <c r="C14" s="43"/>
      <c r="D14" s="43"/>
      <c r="E14" s="43"/>
      <c r="F14" s="43"/>
      <c r="G14" s="43"/>
      <c r="H14" s="43"/>
      <c r="I14" s="43"/>
    </row>
    <row r="15" spans="1:9" x14ac:dyDescent="0.3">
      <c r="A15" s="10" t="s">
        <v>145</v>
      </c>
      <c r="B15" s="43" t="s">
        <v>143</v>
      </c>
      <c r="C15" s="43"/>
      <c r="D15" s="43"/>
      <c r="E15" s="43"/>
      <c r="F15" s="43"/>
      <c r="G15" s="43"/>
      <c r="H15" s="43"/>
      <c r="I15" s="43"/>
    </row>
    <row r="16" spans="1:9" x14ac:dyDescent="0.3">
      <c r="A16" s="10" t="s">
        <v>146</v>
      </c>
      <c r="B16" s="42" t="s">
        <v>148</v>
      </c>
      <c r="C16" s="42"/>
      <c r="D16" s="42"/>
      <c r="E16" s="42"/>
      <c r="F16" s="42"/>
      <c r="G16" s="42"/>
      <c r="H16" s="42"/>
      <c r="I16" s="42"/>
    </row>
    <row r="17" spans="1:9" x14ac:dyDescent="0.3">
      <c r="A17" s="10" t="s">
        <v>147</v>
      </c>
      <c r="B17" s="42" t="s">
        <v>148</v>
      </c>
      <c r="C17" s="42"/>
      <c r="D17" s="42"/>
      <c r="E17" s="42"/>
      <c r="F17" s="42"/>
      <c r="G17" s="42"/>
      <c r="H17" s="42"/>
      <c r="I17" s="42"/>
    </row>
    <row r="18" spans="1:9" x14ac:dyDescent="0.3">
      <c r="A18" s="10" t="s">
        <v>149</v>
      </c>
      <c r="B18" s="42" t="s">
        <v>150</v>
      </c>
      <c r="C18" s="42"/>
      <c r="D18" s="42"/>
      <c r="E18" s="42"/>
      <c r="F18" s="42"/>
      <c r="G18" s="42"/>
      <c r="H18" s="42"/>
      <c r="I18" s="42"/>
    </row>
  </sheetData>
  <mergeCells count="12">
    <mergeCell ref="B7:I7"/>
    <mergeCell ref="B16:I16"/>
    <mergeCell ref="B17:I17"/>
    <mergeCell ref="B18:I18"/>
    <mergeCell ref="B15:I15"/>
    <mergeCell ref="B14:I14"/>
    <mergeCell ref="B11:I11"/>
    <mergeCell ref="B12:I12"/>
    <mergeCell ref="B13:I13"/>
    <mergeCell ref="B10:I10"/>
    <mergeCell ref="B9:I9"/>
    <mergeCell ref="B8:I8"/>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1FFC-1EB8-41F0-B881-4A3199D3D338}">
  <dimension ref="A1:D29"/>
  <sheetViews>
    <sheetView topLeftCell="A7" workbookViewId="0">
      <selection activeCell="C17" sqref="C17"/>
    </sheetView>
  </sheetViews>
  <sheetFormatPr defaultRowHeight="14.4" x14ac:dyDescent="0.3"/>
  <cols>
    <col min="1" max="2" width="8.88671875" style="20"/>
    <col min="3" max="3" width="33" style="20" customWidth="1"/>
    <col min="4" max="4" width="53.5546875" style="20" customWidth="1"/>
    <col min="5" max="16384" width="8.88671875" style="20"/>
  </cols>
  <sheetData>
    <row r="1" spans="1:4" x14ac:dyDescent="0.3">
      <c r="A1" s="21" t="s">
        <v>74</v>
      </c>
      <c r="B1" s="21" t="s">
        <v>5</v>
      </c>
      <c r="C1" s="21" t="s">
        <v>75</v>
      </c>
      <c r="D1" s="21" t="s">
        <v>81</v>
      </c>
    </row>
    <row r="2" spans="1:4" ht="28.8" x14ac:dyDescent="0.3">
      <c r="A2" s="20" t="s">
        <v>61</v>
      </c>
      <c r="B2" s="20">
        <v>1.1000000000000001</v>
      </c>
      <c r="C2" s="20" t="s">
        <v>62</v>
      </c>
      <c r="D2" s="22" t="s">
        <v>82</v>
      </c>
    </row>
    <row r="3" spans="1:4" ht="28.8" x14ac:dyDescent="0.3">
      <c r="A3" s="20" t="s">
        <v>63</v>
      </c>
      <c r="B3" s="20">
        <v>3.1</v>
      </c>
      <c r="C3" s="20" t="s">
        <v>64</v>
      </c>
      <c r="D3" s="22" t="s">
        <v>83</v>
      </c>
    </row>
    <row r="4" spans="1:4" ht="28.8" x14ac:dyDescent="0.3">
      <c r="A4" s="20" t="s">
        <v>71</v>
      </c>
      <c r="B4" s="20">
        <v>3.2</v>
      </c>
      <c r="C4" s="20" t="s">
        <v>70</v>
      </c>
      <c r="D4" s="22" t="s">
        <v>84</v>
      </c>
    </row>
    <row r="5" spans="1:4" x14ac:dyDescent="0.3">
      <c r="A5" s="20" t="s">
        <v>72</v>
      </c>
      <c r="B5" s="20">
        <v>3.3</v>
      </c>
      <c r="C5" s="20" t="s">
        <v>73</v>
      </c>
      <c r="D5" s="22" t="s">
        <v>85</v>
      </c>
    </row>
    <row r="6" spans="1:4" x14ac:dyDescent="0.3">
      <c r="A6" s="20" t="s">
        <v>76</v>
      </c>
      <c r="B6" s="20">
        <v>3.4</v>
      </c>
      <c r="C6" s="20" t="s">
        <v>78</v>
      </c>
      <c r="D6" s="22" t="s">
        <v>86</v>
      </c>
    </row>
    <row r="7" spans="1:4" x14ac:dyDescent="0.3">
      <c r="A7" s="20" t="s">
        <v>77</v>
      </c>
      <c r="B7" s="20">
        <v>3.5</v>
      </c>
      <c r="C7" s="20" t="s">
        <v>79</v>
      </c>
      <c r="D7" s="22" t="s">
        <v>87</v>
      </c>
    </row>
    <row r="8" spans="1:4" ht="43.2" x14ac:dyDescent="0.3">
      <c r="A8" s="22" t="s">
        <v>89</v>
      </c>
      <c r="B8" s="20">
        <v>4.0999999999999996</v>
      </c>
      <c r="C8" s="20" t="s">
        <v>80</v>
      </c>
      <c r="D8" s="22" t="s">
        <v>88</v>
      </c>
    </row>
    <row r="9" spans="1:4" ht="28.8" x14ac:dyDescent="0.3">
      <c r="A9" s="20" t="s">
        <v>127</v>
      </c>
      <c r="B9" s="20">
        <v>5.3</v>
      </c>
      <c r="C9" s="20" t="s">
        <v>128</v>
      </c>
      <c r="D9" s="22" t="s">
        <v>129</v>
      </c>
    </row>
    <row r="10" spans="1:4" ht="43.2" x14ac:dyDescent="0.3">
      <c r="A10" s="22" t="s">
        <v>132</v>
      </c>
      <c r="B10" s="20">
        <v>5.4</v>
      </c>
      <c r="C10" s="20" t="s">
        <v>130</v>
      </c>
      <c r="D10" s="22" t="s">
        <v>131</v>
      </c>
    </row>
    <row r="11" spans="1:4" x14ac:dyDescent="0.3">
      <c r="A11" s="20" t="s">
        <v>152</v>
      </c>
      <c r="B11" s="20" t="s">
        <v>158</v>
      </c>
      <c r="C11" s="20" t="s">
        <v>153</v>
      </c>
      <c r="D11" s="45" t="s">
        <v>173</v>
      </c>
    </row>
    <row r="12" spans="1:4" x14ac:dyDescent="0.3">
      <c r="A12" s="20" t="s">
        <v>154</v>
      </c>
      <c r="B12" s="20" t="s">
        <v>160</v>
      </c>
      <c r="C12" s="20" t="s">
        <v>156</v>
      </c>
      <c r="D12" s="45"/>
    </row>
    <row r="13" spans="1:4" x14ac:dyDescent="0.3">
      <c r="A13" s="20" t="s">
        <v>155</v>
      </c>
      <c r="B13" s="20" t="s">
        <v>159</v>
      </c>
      <c r="C13" s="20" t="s">
        <v>157</v>
      </c>
      <c r="D13" s="45"/>
    </row>
    <row r="14" spans="1:4" ht="14.4" customHeight="1" x14ac:dyDescent="0.3">
      <c r="A14" s="20" t="s">
        <v>161</v>
      </c>
      <c r="B14" s="20" t="s">
        <v>164</v>
      </c>
      <c r="C14" s="20" t="s">
        <v>169</v>
      </c>
      <c r="D14" s="45" t="s">
        <v>174</v>
      </c>
    </row>
    <row r="15" spans="1:4" x14ac:dyDescent="0.3">
      <c r="A15" s="20" t="s">
        <v>162</v>
      </c>
      <c r="B15" s="20" t="s">
        <v>165</v>
      </c>
      <c r="C15" s="20" t="s">
        <v>170</v>
      </c>
      <c r="D15" s="45"/>
    </row>
    <row r="16" spans="1:4" x14ac:dyDescent="0.3">
      <c r="A16" s="20" t="s">
        <v>163</v>
      </c>
      <c r="B16" s="20" t="s">
        <v>166</v>
      </c>
      <c r="C16" s="20" t="s">
        <v>171</v>
      </c>
      <c r="D16" s="45"/>
    </row>
    <row r="17" spans="1:4" x14ac:dyDescent="0.3">
      <c r="A17" s="20" t="s">
        <v>168</v>
      </c>
      <c r="B17" s="20" t="s">
        <v>167</v>
      </c>
      <c r="C17" s="20" t="s">
        <v>172</v>
      </c>
      <c r="D17" s="45"/>
    </row>
    <row r="18" spans="1:4" x14ac:dyDescent="0.3">
      <c r="A18" s="20" t="s">
        <v>175</v>
      </c>
      <c r="B18" s="20">
        <v>7.1</v>
      </c>
      <c r="C18" s="20" t="s">
        <v>178</v>
      </c>
      <c r="D18" s="20" t="s">
        <v>181</v>
      </c>
    </row>
    <row r="19" spans="1:4" x14ac:dyDescent="0.3">
      <c r="A19" s="20" t="s">
        <v>176</v>
      </c>
      <c r="B19" s="20">
        <v>7.2</v>
      </c>
      <c r="C19" s="20" t="s">
        <v>179</v>
      </c>
      <c r="D19" s="20" t="s">
        <v>181</v>
      </c>
    </row>
    <row r="20" spans="1:4" x14ac:dyDescent="0.3">
      <c r="A20" s="20" t="s">
        <v>177</v>
      </c>
      <c r="B20" s="20">
        <v>7.3</v>
      </c>
      <c r="C20" s="20" t="s">
        <v>180</v>
      </c>
      <c r="D20" s="20" t="s">
        <v>181</v>
      </c>
    </row>
    <row r="21" spans="1:4" ht="28.8" x14ac:dyDescent="0.3">
      <c r="A21" s="22" t="s">
        <v>183</v>
      </c>
      <c r="B21" s="20" t="s">
        <v>184</v>
      </c>
      <c r="C21" s="22" t="s">
        <v>185</v>
      </c>
      <c r="D21" s="22" t="s">
        <v>182</v>
      </c>
    </row>
    <row r="22" spans="1:4" x14ac:dyDescent="0.3">
      <c r="A22" s="20" t="s">
        <v>186</v>
      </c>
      <c r="B22" s="20" t="s">
        <v>187</v>
      </c>
      <c r="C22" s="20" t="s">
        <v>80</v>
      </c>
      <c r="D22" s="20" t="s">
        <v>188</v>
      </c>
    </row>
    <row r="24" spans="1:4" x14ac:dyDescent="0.3">
      <c r="A24" s="20" t="s">
        <v>192</v>
      </c>
    </row>
    <row r="26" spans="1:4" x14ac:dyDescent="0.3">
      <c r="A26" s="20" t="s">
        <v>65</v>
      </c>
    </row>
    <row r="27" spans="1:4" x14ac:dyDescent="0.3">
      <c r="A27" s="20" t="s">
        <v>66</v>
      </c>
      <c r="C27" s="20" t="s">
        <v>67</v>
      </c>
    </row>
    <row r="28" spans="1:4" x14ac:dyDescent="0.3">
      <c r="A28" s="20" t="s">
        <v>68</v>
      </c>
      <c r="C28" s="20">
        <v>12</v>
      </c>
    </row>
    <row r="29" spans="1:4" x14ac:dyDescent="0.3">
      <c r="A29" s="20" t="s">
        <v>69</v>
      </c>
      <c r="C29" s="20" t="s">
        <v>193</v>
      </c>
    </row>
  </sheetData>
  <mergeCells count="2">
    <mergeCell ref="D11:D13"/>
    <mergeCell ref="D14:D17"/>
  </mergeCells>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Occupancy load Calculation</vt:lpstr>
      <vt:lpstr>Fire Load Calculation</vt:lpstr>
      <vt:lpstr>NBC Necessity </vt:lpstr>
      <vt:lpstr>FYI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Deoghare</dc:creator>
  <cp:lastModifiedBy>Katrina Irom</cp:lastModifiedBy>
  <cp:lastPrinted>2025-09-29T10:51:34Z</cp:lastPrinted>
  <dcterms:created xsi:type="dcterms:W3CDTF">2025-09-10T11:00:50Z</dcterms:created>
  <dcterms:modified xsi:type="dcterms:W3CDTF">2026-06-04T07:37:33Z</dcterms:modified>
</cp:coreProperties>
</file>